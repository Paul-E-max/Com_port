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X:\284 VSC90\Electrical\Paul Folder\"/>
    </mc:Choice>
  </mc:AlternateContent>
  <xr:revisionPtr revIDLastSave="0" documentId="8_{27713D1C-195B-43C5-B09A-3B2DB23B2C09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Sheet1" sheetId="1" r:id="rId1"/>
  </sheets>
  <definedNames>
    <definedName name="_xlnm.Print_Area" localSheetId="0">Sheet1!$A$2:$M$21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0" i="1" l="1"/>
  <c r="G20" i="1"/>
  <c r="H20" i="1"/>
  <c r="G18" i="1"/>
  <c r="H18" i="1"/>
  <c r="G5" i="1"/>
  <c r="H5" i="1"/>
  <c r="G6" i="1"/>
  <c r="H6" i="1"/>
  <c r="G7" i="1"/>
  <c r="H39" i="1"/>
  <c r="H40" i="1"/>
  <c r="G39" i="1"/>
  <c r="H38" i="1"/>
  <c r="G38" i="1"/>
  <c r="H37" i="1"/>
  <c r="G37" i="1"/>
  <c r="H21" i="1"/>
  <c r="G21" i="1"/>
  <c r="H16" i="1"/>
  <c r="G16" i="1"/>
  <c r="H41" i="1"/>
  <c r="G41" i="1"/>
  <c r="H42" i="1"/>
  <c r="G42" i="1"/>
  <c r="H11" i="1"/>
  <c r="H12" i="1"/>
  <c r="H13" i="1"/>
  <c r="H14" i="1"/>
  <c r="H15" i="1"/>
  <c r="G29" i="1"/>
  <c r="G10" i="1"/>
  <c r="G11" i="1"/>
  <c r="G12" i="1"/>
  <c r="G13" i="1"/>
  <c r="G14" i="1"/>
  <c r="G15" i="1"/>
  <c r="H43" i="1"/>
  <c r="G43" i="1"/>
  <c r="H19" i="1"/>
  <c r="G19" i="1"/>
  <c r="H31" i="1"/>
  <c r="G32" i="1"/>
  <c r="G31" i="1"/>
  <c r="H8" i="1"/>
  <c r="H26" i="1"/>
  <c r="H28" i="1"/>
  <c r="H30" i="1"/>
  <c r="H17" i="1"/>
  <c r="G8" i="1"/>
  <c r="G9" i="1"/>
  <c r="G26" i="1"/>
  <c r="G27" i="1"/>
  <c r="G28" i="1"/>
  <c r="G30" i="1"/>
  <c r="G17" i="1"/>
</calcChain>
</file>

<file path=xl/sharedStrings.xml><?xml version="1.0" encoding="utf-8"?>
<sst xmlns="http://schemas.openxmlformats.org/spreadsheetml/2006/main" count="276" uniqueCount="182">
  <si>
    <t>Transmitted LED base DAC</t>
  </si>
  <si>
    <t>Spot PCB DAC</t>
  </si>
  <si>
    <t>Flash unit</t>
  </si>
  <si>
    <t>Error</t>
  </si>
  <si>
    <t>Description</t>
  </si>
  <si>
    <t>Part</t>
  </si>
  <si>
    <t>Transmitted LED base GPIO</t>
  </si>
  <si>
    <t>PCA9539</t>
  </si>
  <si>
    <t>LT2633</t>
  </si>
  <si>
    <t>PIC18F67K22</t>
  </si>
  <si>
    <t>New</t>
  </si>
  <si>
    <t>Notes</t>
  </si>
  <si>
    <t>VSC900 I2C Table</t>
  </si>
  <si>
    <t>PCB</t>
  </si>
  <si>
    <t>Address (RD)</t>
  </si>
  <si>
    <t>Address (WR)</t>
  </si>
  <si>
    <t>Shifted</t>
  </si>
  <si>
    <t>TMP112-Q1</t>
  </si>
  <si>
    <t>1000 1110</t>
  </si>
  <si>
    <t>Righf flood DAC (VSC80)</t>
  </si>
  <si>
    <t>Left flood DAC (VSC80)</t>
  </si>
  <si>
    <t>Lamp Tray (VSC80)</t>
  </si>
  <si>
    <t>Control PCB Current Monitor</t>
  </si>
  <si>
    <t>Spot Light Array (260-23)</t>
  </si>
  <si>
    <t>MCP23017-E/ML</t>
  </si>
  <si>
    <t>LTC2633CTS8-LI8</t>
  </si>
  <si>
    <t>Lamp Tray (VSC900)</t>
  </si>
  <si>
    <t>V80_LAMP_TRAY_SLAVE_WR 0x50
V80_LAMP_TRAY_SLAVE_RD 0x51</t>
  </si>
  <si>
    <t>V900_LAMP_TRAY_SLAVE_WR     0x52
V900_LAMP_TRAY_SLAVE_RD     0x53</t>
  </si>
  <si>
    <t>0101 0001</t>
  </si>
  <si>
    <t>0101 0000</t>
  </si>
  <si>
    <t>0101 0010</t>
  </si>
  <si>
    <t>0101 0011</t>
  </si>
  <si>
    <t>0101 1010</t>
  </si>
  <si>
    <t>0101 1011</t>
  </si>
  <si>
    <t>Yes
LTC4316</t>
  </si>
  <si>
    <t>SPOT_ARRAY_WR    0x5a
SPOT_ARRAY_RD     0x5b</t>
  </si>
  <si>
    <t>TSENSOR_WR       0x8e
TSENSOR_RD         0x8f</t>
  </si>
  <si>
    <t>SPOT_DAC_ADDRESS    0x3c</t>
  </si>
  <si>
    <t>0011 1100</t>
  </si>
  <si>
    <t>---</t>
  </si>
  <si>
    <t>LTC2633CTS8</t>
  </si>
  <si>
    <t>LEFT_FLOOD_DAC_ADDRESS  0x20</t>
  </si>
  <si>
    <t>PCA9685PW</t>
  </si>
  <si>
    <t>Left flood GPIO(VSC80)</t>
  </si>
  <si>
    <t>Right flood GPIO (VSC80)</t>
  </si>
  <si>
    <t>LEFT_PCA9685_WR   0x86
LEFT_PCA9685_RD    0x87</t>
  </si>
  <si>
    <t>1000 0110</t>
  </si>
  <si>
    <t>0010 0000</t>
  </si>
  <si>
    <t>Spot PCB GPIO</t>
  </si>
  <si>
    <t>1001 1001</t>
  </si>
  <si>
    <t>1001 1000</t>
  </si>
  <si>
    <t>Flood Array (260-022)</t>
  </si>
  <si>
    <t>Lamp Tray and OVD (278-021)</t>
  </si>
  <si>
    <t>Lamp Tray and OVD (260-021)</t>
  </si>
  <si>
    <t>XY Stage (278-020)</t>
  </si>
  <si>
    <t>XY Stage</t>
  </si>
  <si>
    <t>Translight Array (260-021)</t>
  </si>
  <si>
    <t>Translight Array (278-029)</t>
  </si>
  <si>
    <t>PIC18F47K40</t>
  </si>
  <si>
    <t>1110 1000</t>
  </si>
  <si>
    <t>1110 1001</t>
  </si>
  <si>
    <t>Address Hex (WR)</t>
  </si>
  <si>
    <t>0001 0010</t>
  </si>
  <si>
    <t>Address Hex (RD)</t>
  </si>
  <si>
    <t>1000 1111</t>
  </si>
  <si>
    <t>Multispectral Flood (278-022)</t>
  </si>
  <si>
    <t>MS Right flood GPIO1</t>
  </si>
  <si>
    <t>MS Right flood GPIO2</t>
  </si>
  <si>
    <t>MS Right flood GPIO3</t>
  </si>
  <si>
    <t>MS Left flood GPIO1</t>
  </si>
  <si>
    <t>MS Left flood GPIO2</t>
  </si>
  <si>
    <t>MS Left flood GPIO3</t>
  </si>
  <si>
    <t>Control PCB (278-022)</t>
  </si>
  <si>
    <t>TRANS_ARRAY_WR   0x46
TRANS_ARRAY_RD    0x47</t>
  </si>
  <si>
    <t>TRANS_ARRAY_DAC_ADDRESS    0x24</t>
  </si>
  <si>
    <t>Yes
LTC4317</t>
  </si>
  <si>
    <t>0100 0110</t>
  </si>
  <si>
    <t>0100 0111</t>
  </si>
  <si>
    <t>0010 0100</t>
  </si>
  <si>
    <t>INA220AIDG</t>
  </si>
  <si>
    <t>EEPROM</t>
  </si>
  <si>
    <t>24AA256SN</t>
  </si>
  <si>
    <t>1000 0000</t>
  </si>
  <si>
    <t>1000 0001</t>
  </si>
  <si>
    <t>1010 0000</t>
  </si>
  <si>
    <t>EEPROM_EXT_RD   0xa1
EEPROM_EXT_WR   0xa0</t>
  </si>
  <si>
    <t>Antistokes</t>
  </si>
  <si>
    <t>ASTOKES_WR   0x4e
ASTOKES_RD   0x4f</t>
  </si>
  <si>
    <t>MCP23009</t>
  </si>
  <si>
    <t>FLASH_WR   0x40
FLASH_RD   0X41</t>
  </si>
  <si>
    <t>0100 0000</t>
  </si>
  <si>
    <t>0100 0001</t>
  </si>
  <si>
    <t>1001 0100</t>
  </si>
  <si>
    <t>1000 0100</t>
  </si>
  <si>
    <t>1000 0101</t>
  </si>
  <si>
    <t>1001 0101</t>
  </si>
  <si>
    <t>MCP23017</t>
  </si>
  <si>
    <t>0100 1000</t>
  </si>
  <si>
    <t>0100 1001</t>
  </si>
  <si>
    <t>LEFT_FLOOD_ARRAY_WR    0x48 
LEFT_FLOOD_ARRAY_RD     0x49</t>
  </si>
  <si>
    <t>RIGHT_FLOOD_ARRAY_WR     0x56
RIGHT_FLOOD_ARRAY_RD     0x57</t>
  </si>
  <si>
    <t>RIGHT_PCA9685_WR     0x98
RIGHT_PCA9685_RD     0x99</t>
  </si>
  <si>
    <t xml:space="preserve">RIGHT_FLOOD_DAC_ADDRESS     0x3e </t>
  </si>
  <si>
    <t>0101 0110</t>
  </si>
  <si>
    <t>0011 1110</t>
  </si>
  <si>
    <t>0101 0111</t>
  </si>
  <si>
    <t>0100 1110</t>
  </si>
  <si>
    <t>0100 1111</t>
  </si>
  <si>
    <t>VSC80 Code Definition</t>
  </si>
  <si>
    <t>Flash</t>
  </si>
  <si>
    <t>0001 0011</t>
  </si>
  <si>
    <t>I2CERROR    13</t>
  </si>
  <si>
    <t>RING_LIGHT_WR     0x60</t>
  </si>
  <si>
    <t>0110 0000</t>
  </si>
  <si>
    <t>0110 0001</t>
  </si>
  <si>
    <t>Ring light</t>
  </si>
  <si>
    <t>V800 Zoom ADC</t>
  </si>
  <si>
    <t>V800 Zoom GPIO</t>
  </si>
  <si>
    <t>Keypad</t>
  </si>
  <si>
    <t>ZOOM_ADC_WR    0x28
ZOOM_ADC_RD    0x29</t>
  </si>
  <si>
    <t>MOTOR_PCA9685_WR    0x80
MOTOR_PCA9685_RD    0x81</t>
  </si>
  <si>
    <t>KEYPAD_WR    0x11</t>
  </si>
  <si>
    <t>0010 1000</t>
  </si>
  <si>
    <t>0010 1001</t>
  </si>
  <si>
    <t>Obsolete Addresses</t>
  </si>
  <si>
    <t>Obsolete</t>
  </si>
  <si>
    <t>0001 0001</t>
  </si>
  <si>
    <t>Address (7bit)</t>
  </si>
  <si>
    <t>I2C Shifting</t>
  </si>
  <si>
    <t>100 0000</t>
  </si>
  <si>
    <t>100 0101</t>
  </si>
  <si>
    <t>1000 1010</t>
  </si>
  <si>
    <t>1000 1011</t>
  </si>
  <si>
    <r>
      <t xml:space="preserve">New
</t>
    </r>
    <r>
      <rPr>
        <strike/>
        <sz val="11"/>
        <color theme="1"/>
        <rFont val="Calibri"/>
        <family val="2"/>
        <scheme val="minor"/>
      </rPr>
      <t>1011 001</t>
    </r>
  </si>
  <si>
    <t>100 0111</t>
  </si>
  <si>
    <t>010 1101</t>
  </si>
  <si>
    <t>001 1110</t>
  </si>
  <si>
    <t>010 0011</t>
  </si>
  <si>
    <t>001 0010</t>
  </si>
  <si>
    <t>111 0100</t>
  </si>
  <si>
    <t>100 0011</t>
  </si>
  <si>
    <t>001 0000</t>
  </si>
  <si>
    <t>100 1100</t>
  </si>
  <si>
    <t>001 1111</t>
  </si>
  <si>
    <t>100 0010</t>
  </si>
  <si>
    <t>100 1010</t>
  </si>
  <si>
    <t>010 0111</t>
  </si>
  <si>
    <t>010 1000</t>
  </si>
  <si>
    <t>010 1001</t>
  </si>
  <si>
    <t>101 0000</t>
  </si>
  <si>
    <t>000 1001</t>
  </si>
  <si>
    <t>011 0000</t>
  </si>
  <si>
    <t>001 0100</t>
  </si>
  <si>
    <t>010 1011</t>
  </si>
  <si>
    <t>010 0100</t>
  </si>
  <si>
    <t>010 0000</t>
  </si>
  <si>
    <r>
      <t xml:space="preserve">New
</t>
    </r>
    <r>
      <rPr>
        <strike/>
        <sz val="11"/>
        <color theme="1"/>
        <rFont val="Calibri"/>
        <family val="2"/>
        <scheme val="minor"/>
      </rPr>
      <t>1011 110</t>
    </r>
  </si>
  <si>
    <t>100 0110</t>
  </si>
  <si>
    <t>1000 1100</t>
  </si>
  <si>
    <t>1000 1101</t>
  </si>
  <si>
    <r>
      <t xml:space="preserve">New
</t>
    </r>
    <r>
      <rPr>
        <strike/>
        <sz val="11"/>
        <color theme="1"/>
        <rFont val="Calibri"/>
        <family val="2"/>
        <scheme val="minor"/>
      </rPr>
      <t xml:space="preserve">1010 001 </t>
    </r>
    <r>
      <rPr>
        <sz val="11"/>
        <color theme="1"/>
        <rFont val="Calibri"/>
        <family val="2"/>
        <scheme val="minor"/>
      </rPr>
      <t>Left flood XORed with 0001111 Add Trans.</t>
    </r>
  </si>
  <si>
    <t>1001 1010</t>
  </si>
  <si>
    <t>1001 1011</t>
  </si>
  <si>
    <t>100 1101</t>
  </si>
  <si>
    <t>100 1001</t>
  </si>
  <si>
    <t>0101 1000</t>
  </si>
  <si>
    <t>0101 1001</t>
  </si>
  <si>
    <t>010 1100</t>
  </si>
  <si>
    <t>Temperature sensor 
(on Spot PCB)</t>
  </si>
  <si>
    <t>XOR 0001111</t>
  </si>
  <si>
    <t>VSC80 Addresses (Not used in VSC900)</t>
  </si>
  <si>
    <t>Last Update: 06/05/23</t>
  </si>
  <si>
    <t>Anti Stokes LED driver (260-038)</t>
  </si>
  <si>
    <r>
      <rPr>
        <b/>
        <sz val="11"/>
        <color rgb="FFFF0000"/>
        <rFont val="Calibri"/>
        <family val="2"/>
        <scheme val="minor"/>
      </rPr>
      <t xml:space="preserve">Clash acceptable </t>
    </r>
    <r>
      <rPr>
        <sz val="11"/>
        <color rgb="FFFF0000"/>
        <rFont val="Calibri"/>
        <family val="2"/>
        <scheme val="minor"/>
      </rPr>
      <t>- same part on a different build option, different translight arrays for the different VSC models</t>
    </r>
  </si>
  <si>
    <t xml:space="preserve">Obsolete / Clash acceptable </t>
  </si>
  <si>
    <t>Left flood XORed with 0001111 Add Trans.</t>
  </si>
  <si>
    <t>Clash acceptable - Clashes with obsolete part</t>
  </si>
  <si>
    <t>Clash acceptable - same part on a different build option</t>
  </si>
  <si>
    <t>VSC90 I2C Table From VSC80 and VSC900</t>
  </si>
  <si>
    <t xml:space="preserve">UNUSED VSC900 </t>
  </si>
  <si>
    <t>UNUSED VSC80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</si>
</sst>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0" fontId="1" fillId="0" borderId="0" xfId="0" applyFont="1" applyAlignment="1">
      <alignment wrapText="1"/>
    </xf>
    <xf numFmtId="0" fontId="0" fillId="0" borderId="3" xfId="0" applyBorder="1" applyAlignment="1">
      <alignment vertical="top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/>
    </xf>
    <xf numFmtId="0" fontId="0" fillId="0" borderId="8" xfId="0" applyBorder="1" applyAlignment="1">
      <alignment horizontal="center" vertical="top"/>
    </xf>
    <xf numFmtId="0" fontId="0" fillId="0" borderId="11" xfId="0" applyBorder="1" applyAlignment="1">
      <alignment vertical="top"/>
    </xf>
    <xf numFmtId="0" fontId="0" fillId="0" borderId="11" xfId="0" applyBorder="1" applyAlignment="1">
      <alignment horizontal="center" vertical="top"/>
    </xf>
    <xf numFmtId="0" fontId="0" fillId="0" borderId="11" xfId="0" applyBorder="1" applyAlignment="1">
      <alignment vertical="top" wrapText="1"/>
    </xf>
    <xf numFmtId="0" fontId="1" fillId="2" borderId="1" xfId="0" applyFont="1" applyFill="1" applyBorder="1" applyAlignment="1">
      <alignment wrapText="1"/>
    </xf>
    <xf numFmtId="0" fontId="0" fillId="2" borderId="8" xfId="0" applyFill="1" applyBorder="1" applyAlignment="1">
      <alignment horizontal="center" vertical="top"/>
    </xf>
    <xf numFmtId="0" fontId="0" fillId="2" borderId="0" xfId="0" quotePrefix="1" applyFill="1" applyAlignment="1">
      <alignment horizontal="center" vertical="top"/>
    </xf>
    <xf numFmtId="0" fontId="0" fillId="2" borderId="8" xfId="0" quotePrefix="1" applyFill="1" applyBorder="1" applyAlignment="1">
      <alignment horizontal="center" vertical="top"/>
    </xf>
    <xf numFmtId="0" fontId="4" fillId="2" borderId="0" xfId="0" quotePrefix="1" applyFont="1" applyFill="1" applyAlignment="1">
      <alignment horizontal="center" vertical="top"/>
    </xf>
    <xf numFmtId="0" fontId="0" fillId="0" borderId="8" xfId="0" applyBorder="1" applyAlignment="1">
      <alignment vertical="top" wrapText="1"/>
    </xf>
    <xf numFmtId="0" fontId="0" fillId="0" borderId="6" xfId="0" applyBorder="1" applyAlignment="1">
      <alignment vertical="top"/>
    </xf>
    <xf numFmtId="0" fontId="0" fillId="2" borderId="0" xfId="0" applyFill="1" applyAlignment="1">
      <alignment horizontal="center" vertical="top"/>
    </xf>
    <xf numFmtId="0" fontId="0" fillId="0" borderId="0" xfId="0" quotePrefix="1" applyAlignment="1">
      <alignment vertical="top"/>
    </xf>
    <xf numFmtId="0" fontId="0" fillId="0" borderId="8" xfId="0" quotePrefix="1" applyBorder="1" applyAlignment="1">
      <alignment vertical="top"/>
    </xf>
    <xf numFmtId="0" fontId="0" fillId="0" borderId="3" xfId="0" quotePrefix="1" applyBorder="1" applyAlignment="1">
      <alignment vertical="top" wrapText="1"/>
    </xf>
    <xf numFmtId="0" fontId="0" fillId="0" borderId="4" xfId="0" applyBorder="1"/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quotePrefix="1" applyBorder="1" applyAlignment="1">
      <alignment horizontal="left" vertical="top"/>
    </xf>
    <xf numFmtId="0" fontId="0" fillId="0" borderId="8" xfId="0" quotePrefix="1" applyBorder="1" applyAlignment="1">
      <alignment horizontal="left" vertical="top"/>
    </xf>
    <xf numFmtId="0" fontId="0" fillId="0" borderId="4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2" xfId="0" quotePrefix="1" applyBorder="1" applyAlignment="1">
      <alignment vertical="top"/>
    </xf>
    <xf numFmtId="0" fontId="0" fillId="0" borderId="9" xfId="0" quotePrefix="1" applyBorder="1" applyAlignment="1">
      <alignment vertical="top"/>
    </xf>
    <xf numFmtId="0" fontId="0" fillId="0" borderId="1" xfId="0" applyBorder="1"/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0" xfId="0" applyAlignment="1">
      <alignment horizontal="right"/>
    </xf>
    <xf numFmtId="0" fontId="0" fillId="0" borderId="0" xfId="0" quotePrefix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/>
    </xf>
    <xf numFmtId="0" fontId="0" fillId="3" borderId="3" xfId="0" applyFill="1" applyBorder="1" applyAlignment="1">
      <alignment horizontal="center" vertical="top"/>
    </xf>
    <xf numFmtId="0" fontId="0" fillId="3" borderId="3" xfId="0" quotePrefix="1" applyFill="1" applyBorder="1" applyAlignment="1">
      <alignment vertical="top"/>
    </xf>
    <xf numFmtId="0" fontId="0" fillId="3" borderId="3" xfId="0" applyFill="1" applyBorder="1" applyAlignment="1">
      <alignment vertical="top" wrapText="1"/>
    </xf>
    <xf numFmtId="0" fontId="0" fillId="3" borderId="4" xfId="0" applyFill="1" applyBorder="1" applyAlignment="1">
      <alignment vertical="top"/>
    </xf>
    <xf numFmtId="0" fontId="0" fillId="3" borderId="5" xfId="0" applyFill="1" applyBorder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3" borderId="0" xfId="0" quotePrefix="1" applyFill="1" applyAlignment="1">
      <alignment vertical="top"/>
    </xf>
    <xf numFmtId="0" fontId="0" fillId="3" borderId="0" xfId="0" applyFill="1" applyAlignment="1">
      <alignment vertical="top" wrapText="1"/>
    </xf>
    <xf numFmtId="0" fontId="0" fillId="3" borderId="6" xfId="0" applyFill="1" applyBorder="1" applyAlignment="1">
      <alignment vertical="top"/>
    </xf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/>
    </xf>
    <xf numFmtId="0" fontId="0" fillId="3" borderId="8" xfId="0" applyFill="1" applyBorder="1" applyAlignment="1">
      <alignment horizontal="center" vertical="top"/>
    </xf>
    <xf numFmtId="0" fontId="0" fillId="3" borderId="8" xfId="0" quotePrefix="1" applyFill="1" applyBorder="1" applyAlignment="1">
      <alignment vertical="top"/>
    </xf>
    <xf numFmtId="0" fontId="0" fillId="3" borderId="9" xfId="0" applyFill="1" applyBorder="1" applyAlignment="1">
      <alignment vertical="top"/>
    </xf>
    <xf numFmtId="0" fontId="0" fillId="3" borderId="4" xfId="0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0" fillId="3" borderId="8" xfId="0" applyFill="1" applyBorder="1" applyAlignment="1">
      <alignment vertical="top" wrapText="1"/>
    </xf>
    <xf numFmtId="0" fontId="0" fillId="3" borderId="9" xfId="0" applyFill="1" applyBorder="1" applyAlignment="1">
      <alignment vertical="top" wrapText="1"/>
    </xf>
    <xf numFmtId="0" fontId="0" fillId="3" borderId="3" xfId="0" quotePrefix="1" applyFill="1" applyBorder="1" applyAlignment="1">
      <alignment horizontal="center" vertical="top"/>
    </xf>
    <xf numFmtId="0" fontId="0" fillId="3" borderId="11" xfId="0" applyFill="1" applyBorder="1" applyAlignment="1">
      <alignment horizontal="center" vertical="top"/>
    </xf>
    <xf numFmtId="0" fontId="0" fillId="3" borderId="3" xfId="0" quotePrefix="1" applyFill="1" applyBorder="1" applyAlignment="1">
      <alignment vertical="top" wrapText="1"/>
    </xf>
    <xf numFmtId="0" fontId="0" fillId="3" borderId="3" xfId="0" applyFill="1" applyBorder="1" applyAlignment="1">
      <alignment vertical="top"/>
    </xf>
    <xf numFmtId="0" fontId="0" fillId="3" borderId="4" xfId="0" quotePrefix="1" applyFill="1" applyBorder="1" applyAlignment="1">
      <alignment vertical="top"/>
    </xf>
    <xf numFmtId="0" fontId="0" fillId="3" borderId="8" xfId="0" quotePrefix="1" applyFill="1" applyBorder="1" applyAlignment="1">
      <alignment horizontal="center" vertical="top"/>
    </xf>
    <xf numFmtId="0" fontId="0" fillId="3" borderId="8" xfId="0" applyFill="1" applyBorder="1" applyAlignment="1">
      <alignment vertical="top"/>
    </xf>
    <xf numFmtId="0" fontId="0" fillId="4" borderId="4" xfId="0" quotePrefix="1" applyFill="1" applyBorder="1" applyAlignment="1">
      <alignment vertical="top"/>
    </xf>
    <xf numFmtId="0" fontId="7" fillId="4" borderId="9" xfId="0" applyFont="1" applyFill="1" applyBorder="1" applyAlignment="1">
      <alignment vertical="top" wrapText="1"/>
    </xf>
    <xf numFmtId="0" fontId="8" fillId="0" borderId="4" xfId="0" quotePrefix="1" applyFont="1" applyBorder="1" applyAlignment="1">
      <alignment vertical="top"/>
    </xf>
    <xf numFmtId="0" fontId="8" fillId="0" borderId="4" xfId="0" applyFont="1" applyBorder="1"/>
    <xf numFmtId="0" fontId="8" fillId="0" borderId="4" xfId="0" applyFont="1" applyBorder="1" applyAlignment="1">
      <alignment vertical="top"/>
    </xf>
    <xf numFmtId="0" fontId="8" fillId="0" borderId="9" xfId="0" applyFont="1" applyBorder="1" applyAlignment="1">
      <alignment vertical="top" wrapText="1"/>
    </xf>
    <xf numFmtId="0" fontId="10" fillId="0" borderId="0" xfId="0" applyFont="1"/>
    <xf numFmtId="0" fontId="0" fillId="5" borderId="2" xfId="0" quotePrefix="1" applyFill="1" applyBorder="1"/>
    <xf numFmtId="0" fontId="0" fillId="5" borderId="2" xfId="0" applyFill="1" applyBorder="1" applyAlignment="1">
      <alignment vertical="top"/>
    </xf>
    <xf numFmtId="0" fontId="0" fillId="5" borderId="3" xfId="0" quotePrefix="1" applyFill="1" applyBorder="1"/>
    <xf numFmtId="0" fontId="0" fillId="5" borderId="3" xfId="0" applyFill="1" applyBorder="1" applyAlignment="1">
      <alignment horizontal="center" vertical="center"/>
    </xf>
    <xf numFmtId="0" fontId="0" fillId="5" borderId="3" xfId="0" applyFill="1" applyBorder="1"/>
    <xf numFmtId="0" fontId="0" fillId="5" borderId="10" xfId="0" quotePrefix="1" applyFill="1" applyBorder="1"/>
    <xf numFmtId="0" fontId="0" fillId="5" borderId="11" xfId="0" applyFill="1" applyBorder="1" applyAlignment="1">
      <alignment vertical="top"/>
    </xf>
    <xf numFmtId="0" fontId="0" fillId="5" borderId="11" xfId="0" quotePrefix="1" applyFill="1" applyBorder="1"/>
    <xf numFmtId="0" fontId="0" fillId="5" borderId="11" xfId="0" applyFill="1" applyBorder="1" applyAlignment="1">
      <alignment horizontal="center" vertical="center"/>
    </xf>
    <xf numFmtId="0" fontId="0" fillId="5" borderId="11" xfId="0" applyFill="1" applyBorder="1" applyAlignment="1">
      <alignment wrapText="1"/>
    </xf>
    <xf numFmtId="0" fontId="0" fillId="5" borderId="11" xfId="0" applyFill="1" applyBorder="1"/>
    <xf numFmtId="0" fontId="0" fillId="5" borderId="10" xfId="0" applyFill="1" applyBorder="1" applyAlignment="1">
      <alignment vertical="top"/>
    </xf>
    <xf numFmtId="0" fontId="0" fillId="5" borderId="11" xfId="0" applyFill="1" applyBorder="1" applyAlignment="1">
      <alignment vertical="top" wrapText="1"/>
    </xf>
    <xf numFmtId="0" fontId="0" fillId="5" borderId="11" xfId="0" applyFill="1" applyBorder="1" applyAlignment="1">
      <alignment vertical="center" wrapText="1"/>
    </xf>
    <xf numFmtId="0" fontId="0" fillId="5" borderId="7" xfId="0" applyFill="1" applyBorder="1" applyAlignment="1">
      <alignment vertical="top"/>
    </xf>
    <xf numFmtId="0" fontId="0" fillId="5" borderId="8" xfId="0" applyFill="1" applyBorder="1" applyAlignment="1">
      <alignment vertical="top"/>
    </xf>
    <xf numFmtId="0" fontId="0" fillId="5" borderId="8" xfId="0" applyFill="1" applyBorder="1" applyAlignment="1">
      <alignment horizontal="center" vertical="center"/>
    </xf>
    <xf numFmtId="0" fontId="0" fillId="5" borderId="8" xfId="0" applyFill="1" applyBorder="1" applyAlignment="1">
      <alignment vertical="top" wrapText="1"/>
    </xf>
    <xf numFmtId="0" fontId="0" fillId="5" borderId="8" xfId="0" applyFill="1" applyBorder="1" applyAlignment="1">
      <alignment vertical="center" wrapText="1"/>
    </xf>
    <xf numFmtId="0" fontId="0" fillId="5" borderId="8" xfId="0" applyFill="1" applyBorder="1" applyAlignment="1">
      <alignment vertical="center"/>
    </xf>
    <xf numFmtId="0" fontId="0" fillId="6" borderId="0" xfId="0" applyFill="1"/>
    <xf numFmtId="0" fontId="0" fillId="6" borderId="0" xfId="0" quotePrefix="1" applyFill="1"/>
    <xf numFmtId="0" fontId="6" fillId="0" borderId="0" xfId="0" applyFont="1" applyAlignment="1">
      <alignment horizontal="left"/>
    </xf>
    <xf numFmtId="0" fontId="9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B7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3"/>
  <sheetViews>
    <sheetView tabSelected="1" zoomScaleNormal="100" workbookViewId="0">
      <selection activeCell="D2" sqref="D2"/>
    </sheetView>
  </sheetViews>
  <sheetFormatPr defaultRowHeight="14.5" x14ac:dyDescent="0.35"/>
  <cols>
    <col min="1" max="1" width="28.453125" customWidth="1"/>
    <col min="2" max="2" width="29" customWidth="1"/>
    <col min="3" max="3" width="16.54296875" customWidth="1"/>
    <col min="4" max="4" width="18.1796875" customWidth="1"/>
    <col min="5" max="5" width="14.54296875" customWidth="1"/>
    <col min="6" max="6" width="14.26953125" customWidth="1"/>
    <col min="7" max="7" width="12.1796875" customWidth="1"/>
    <col min="8" max="8" width="11.54296875" customWidth="1"/>
    <col min="9" max="9" width="49.453125" customWidth="1"/>
    <col min="10" max="10" width="10" customWidth="1"/>
    <col min="11" max="11" width="55.7265625" customWidth="1"/>
    <col min="12" max="12" width="6.54296875" customWidth="1"/>
    <col min="13" max="13" width="22.81640625" customWidth="1"/>
    <col min="14" max="14" width="19.1796875" customWidth="1"/>
    <col min="16" max="16" width="16.81640625" customWidth="1"/>
  </cols>
  <sheetData>
    <row r="1" spans="1:17" ht="31" x14ac:dyDescent="0.7">
      <c r="A1" s="86" t="s">
        <v>179</v>
      </c>
      <c r="E1" s="110" t="s">
        <v>180</v>
      </c>
      <c r="F1" s="111"/>
      <c r="G1" s="111"/>
      <c r="I1" s="112" t="s">
        <v>181</v>
      </c>
    </row>
    <row r="2" spans="1:17" ht="28.5" x14ac:dyDescent="0.65">
      <c r="A2" s="109" t="s">
        <v>12</v>
      </c>
      <c r="B2" s="109"/>
      <c r="E2" s="111"/>
      <c r="F2" s="111"/>
      <c r="G2" s="111"/>
      <c r="I2" s="113"/>
      <c r="J2" s="3"/>
      <c r="K2" s="47" t="s">
        <v>172</v>
      </c>
    </row>
    <row r="4" spans="1:17" ht="29.5" customHeight="1" x14ac:dyDescent="0.35">
      <c r="A4" s="16" t="s">
        <v>13</v>
      </c>
      <c r="B4" s="16" t="s">
        <v>4</v>
      </c>
      <c r="C4" s="16" t="s">
        <v>5</v>
      </c>
      <c r="D4" s="16" t="s">
        <v>128</v>
      </c>
      <c r="E4" s="16" t="s">
        <v>15</v>
      </c>
      <c r="F4" s="16" t="s">
        <v>14</v>
      </c>
      <c r="G4" s="16" t="s">
        <v>62</v>
      </c>
      <c r="H4" s="16" t="s">
        <v>64</v>
      </c>
      <c r="I4" s="16" t="s">
        <v>109</v>
      </c>
      <c r="J4" s="16" t="s">
        <v>16</v>
      </c>
      <c r="K4" s="16" t="s">
        <v>11</v>
      </c>
      <c r="L4" s="4"/>
      <c r="M4" s="16" t="s">
        <v>129</v>
      </c>
      <c r="N4" s="1"/>
    </row>
    <row r="5" spans="1:17" ht="30" customHeight="1" x14ac:dyDescent="0.35">
      <c r="A5" s="28" t="s">
        <v>23</v>
      </c>
      <c r="B5" s="43" t="s">
        <v>169</v>
      </c>
      <c r="C5" s="29" t="s">
        <v>17</v>
      </c>
      <c r="D5" s="6" t="s">
        <v>135</v>
      </c>
      <c r="E5" s="6" t="s">
        <v>18</v>
      </c>
      <c r="F5" s="6" t="s">
        <v>65</v>
      </c>
      <c r="G5" s="6" t="str">
        <f>BIN2HEX(SUBSTITUTE(E5," ", ""))</f>
        <v>8E</v>
      </c>
      <c r="H5" s="6" t="str">
        <f>BIN2HEX(SUBSTITUTE(F5," ", ""))</f>
        <v>8F</v>
      </c>
      <c r="I5" s="7" t="s">
        <v>37</v>
      </c>
      <c r="J5" s="7" t="s">
        <v>35</v>
      </c>
      <c r="K5" s="38"/>
      <c r="M5" s="42" t="s">
        <v>170</v>
      </c>
    </row>
    <row r="6" spans="1:17" ht="30" customHeight="1" x14ac:dyDescent="0.35">
      <c r="A6" s="30" t="s">
        <v>23</v>
      </c>
      <c r="B6" s="44" t="s">
        <v>49</v>
      </c>
      <c r="C6" s="31" t="s">
        <v>24</v>
      </c>
      <c r="D6" s="9" t="s">
        <v>136</v>
      </c>
      <c r="E6" s="9" t="s">
        <v>33</v>
      </c>
      <c r="F6" s="9" t="s">
        <v>34</v>
      </c>
      <c r="G6" s="9" t="str">
        <f t="shared" ref="G6:G17" si="0">BIN2HEX(SUBSTITUTE(E6," ", ""))</f>
        <v>5A</v>
      </c>
      <c r="H6" s="9" t="str">
        <f t="shared" ref="H6:H20" si="1">BIN2HEX(SUBSTITUTE(F6," ", ""))</f>
        <v>5B</v>
      </c>
      <c r="I6" s="10" t="s">
        <v>36</v>
      </c>
      <c r="J6" s="10" t="s">
        <v>35</v>
      </c>
      <c r="K6" s="22"/>
    </row>
    <row r="7" spans="1:17" ht="30" customHeight="1" x14ac:dyDescent="0.35">
      <c r="A7" s="30" t="s">
        <v>23</v>
      </c>
      <c r="B7" s="44" t="s">
        <v>1</v>
      </c>
      <c r="C7" s="31" t="s">
        <v>25</v>
      </c>
      <c r="D7" s="9" t="s">
        <v>137</v>
      </c>
      <c r="E7" s="9" t="s">
        <v>39</v>
      </c>
      <c r="F7" s="18"/>
      <c r="G7" s="9" t="str">
        <f t="shared" si="0"/>
        <v>3C</v>
      </c>
      <c r="H7" s="20"/>
      <c r="I7" s="8" t="s">
        <v>38</v>
      </c>
      <c r="J7" s="10" t="s">
        <v>35</v>
      </c>
      <c r="K7" s="22"/>
    </row>
    <row r="8" spans="1:17" ht="30" customHeight="1" x14ac:dyDescent="0.35">
      <c r="A8" s="49" t="s">
        <v>58</v>
      </c>
      <c r="B8" s="50" t="s">
        <v>6</v>
      </c>
      <c r="C8" s="51" t="s">
        <v>7</v>
      </c>
      <c r="D8" s="52" t="s">
        <v>140</v>
      </c>
      <c r="E8" s="52" t="s">
        <v>60</v>
      </c>
      <c r="F8" s="52" t="s">
        <v>61</v>
      </c>
      <c r="G8" s="52" t="str">
        <f t="shared" si="0"/>
        <v>E8</v>
      </c>
      <c r="H8" s="52" t="str">
        <f t="shared" si="1"/>
        <v>E9</v>
      </c>
      <c r="I8" s="53" t="s">
        <v>40</v>
      </c>
      <c r="J8" s="76"/>
      <c r="K8" s="80" t="s">
        <v>10</v>
      </c>
      <c r="L8" s="2"/>
      <c r="N8" s="2"/>
    </row>
    <row r="9" spans="1:17" ht="30" customHeight="1" x14ac:dyDescent="0.35">
      <c r="A9" s="63" t="s">
        <v>58</v>
      </c>
      <c r="B9" s="64" t="s">
        <v>0</v>
      </c>
      <c r="C9" s="65" t="s">
        <v>8</v>
      </c>
      <c r="D9" s="66" t="s">
        <v>139</v>
      </c>
      <c r="E9" s="66" t="s">
        <v>79</v>
      </c>
      <c r="F9" s="78"/>
      <c r="G9" s="66" t="str">
        <f t="shared" si="0"/>
        <v>24</v>
      </c>
      <c r="H9" s="78"/>
      <c r="I9" s="67" t="s">
        <v>40</v>
      </c>
      <c r="J9" s="79"/>
      <c r="K9" s="81" t="s">
        <v>174</v>
      </c>
    </row>
    <row r="10" spans="1:17" ht="30" customHeight="1" x14ac:dyDescent="0.35">
      <c r="A10" s="49" t="s">
        <v>66</v>
      </c>
      <c r="B10" s="50" t="s">
        <v>70</v>
      </c>
      <c r="C10" s="51" t="s">
        <v>43</v>
      </c>
      <c r="D10" s="52" t="s">
        <v>145</v>
      </c>
      <c r="E10" s="52" t="s">
        <v>94</v>
      </c>
      <c r="F10" s="52" t="s">
        <v>95</v>
      </c>
      <c r="G10" s="52" t="str">
        <f t="shared" si="0"/>
        <v>84</v>
      </c>
      <c r="H10" s="52" t="str">
        <f>BIN2HEX(SUBSTITUTE(F10," ", ""))</f>
        <v>85</v>
      </c>
      <c r="I10" s="53" t="s">
        <v>40</v>
      </c>
      <c r="J10" s="54"/>
      <c r="K10" s="55" t="s">
        <v>10</v>
      </c>
    </row>
    <row r="11" spans="1:17" ht="30" customHeight="1" x14ac:dyDescent="0.35">
      <c r="A11" s="56" t="s">
        <v>66</v>
      </c>
      <c r="B11" s="57" t="s">
        <v>71</v>
      </c>
      <c r="C11" s="58" t="s">
        <v>43</v>
      </c>
      <c r="D11" s="59" t="s">
        <v>158</v>
      </c>
      <c r="E11" s="59" t="s">
        <v>159</v>
      </c>
      <c r="F11" s="59" t="s">
        <v>160</v>
      </c>
      <c r="G11" s="59" t="str">
        <f t="shared" si="0"/>
        <v>8C</v>
      </c>
      <c r="H11" s="59" t="str">
        <f t="shared" si="1"/>
        <v>8D</v>
      </c>
      <c r="I11" s="60" t="s">
        <v>40</v>
      </c>
      <c r="J11" s="61"/>
      <c r="K11" s="62" t="s">
        <v>10</v>
      </c>
      <c r="N11" s="9"/>
      <c r="O11" s="9"/>
      <c r="P11" s="9"/>
      <c r="Q11" s="9"/>
    </row>
    <row r="12" spans="1:17" ht="30" customHeight="1" x14ac:dyDescent="0.35">
      <c r="A12" s="63" t="s">
        <v>66</v>
      </c>
      <c r="B12" s="64" t="s">
        <v>72</v>
      </c>
      <c r="C12" s="65" t="s">
        <v>43</v>
      </c>
      <c r="D12" s="66" t="s">
        <v>146</v>
      </c>
      <c r="E12" s="66" t="s">
        <v>93</v>
      </c>
      <c r="F12" s="66" t="s">
        <v>96</v>
      </c>
      <c r="G12" s="59" t="str">
        <f t="shared" si="0"/>
        <v>94</v>
      </c>
      <c r="H12" s="59" t="str">
        <f t="shared" si="1"/>
        <v>95</v>
      </c>
      <c r="I12" s="67" t="s">
        <v>40</v>
      </c>
      <c r="J12" s="61"/>
      <c r="K12" s="68" t="s">
        <v>10</v>
      </c>
    </row>
    <row r="13" spans="1:17" ht="30" customHeight="1" x14ac:dyDescent="0.35">
      <c r="A13" s="49" t="s">
        <v>66</v>
      </c>
      <c r="B13" s="50" t="s">
        <v>67</v>
      </c>
      <c r="C13" s="51" t="s">
        <v>43</v>
      </c>
      <c r="D13" s="52" t="s">
        <v>164</v>
      </c>
      <c r="E13" s="52" t="s">
        <v>162</v>
      </c>
      <c r="F13" s="52" t="s">
        <v>163</v>
      </c>
      <c r="G13" s="52" t="str">
        <f t="shared" si="0"/>
        <v>9A</v>
      </c>
      <c r="H13" s="52" t="str">
        <f t="shared" si="1"/>
        <v>9B</v>
      </c>
      <c r="I13" s="53" t="s">
        <v>40</v>
      </c>
      <c r="J13" s="54" t="s">
        <v>35</v>
      </c>
      <c r="K13" s="69" t="s">
        <v>161</v>
      </c>
    </row>
    <row r="14" spans="1:17" ht="30" customHeight="1" x14ac:dyDescent="0.35">
      <c r="A14" s="56" t="s">
        <v>66</v>
      </c>
      <c r="B14" s="57" t="s">
        <v>68</v>
      </c>
      <c r="C14" s="58" t="s">
        <v>43</v>
      </c>
      <c r="D14" s="59" t="s">
        <v>165</v>
      </c>
      <c r="E14" s="59">
        <v>10010010</v>
      </c>
      <c r="F14" s="59">
        <v>10010011</v>
      </c>
      <c r="G14" s="59" t="str">
        <f t="shared" si="0"/>
        <v>92</v>
      </c>
      <c r="H14" s="59" t="str">
        <f t="shared" si="1"/>
        <v>93</v>
      </c>
      <c r="I14" s="60" t="s">
        <v>40</v>
      </c>
      <c r="J14" s="61" t="s">
        <v>35</v>
      </c>
      <c r="K14" s="70" t="s">
        <v>157</v>
      </c>
    </row>
    <row r="15" spans="1:17" ht="30" customHeight="1" x14ac:dyDescent="0.35">
      <c r="A15" s="63" t="s">
        <v>66</v>
      </c>
      <c r="B15" s="64" t="s">
        <v>69</v>
      </c>
      <c r="C15" s="65" t="s">
        <v>43</v>
      </c>
      <c r="D15" s="66" t="s">
        <v>131</v>
      </c>
      <c r="E15" s="66" t="s">
        <v>132</v>
      </c>
      <c r="F15" s="66" t="s">
        <v>133</v>
      </c>
      <c r="G15" s="66" t="str">
        <f t="shared" si="0"/>
        <v>8A</v>
      </c>
      <c r="H15" s="66" t="str">
        <f t="shared" si="1"/>
        <v>8B</v>
      </c>
      <c r="I15" s="67" t="s">
        <v>40</v>
      </c>
      <c r="J15" s="71" t="s">
        <v>76</v>
      </c>
      <c r="K15" s="72" t="s">
        <v>134</v>
      </c>
    </row>
    <row r="16" spans="1:17" ht="30" customHeight="1" x14ac:dyDescent="0.35">
      <c r="A16" s="32" t="s">
        <v>173</v>
      </c>
      <c r="B16" s="45" t="s">
        <v>87</v>
      </c>
      <c r="C16" s="33" t="s">
        <v>89</v>
      </c>
      <c r="D16" s="12" t="s">
        <v>147</v>
      </c>
      <c r="E16" s="12" t="s">
        <v>107</v>
      </c>
      <c r="F16" s="12" t="s">
        <v>108</v>
      </c>
      <c r="G16" s="12" t="str">
        <f>BIN2HEX(SUBSTITUTE(E16," ", ""))</f>
        <v>4E</v>
      </c>
      <c r="H16" s="12" t="str">
        <f>BIN2HEX(SUBSTITUTE(F16," ", ""))</f>
        <v>4F</v>
      </c>
      <c r="I16" s="21" t="s">
        <v>88</v>
      </c>
      <c r="J16" s="11"/>
      <c r="K16" s="39"/>
      <c r="L16" s="107"/>
    </row>
    <row r="17" spans="1:14" ht="30" customHeight="1" x14ac:dyDescent="0.35">
      <c r="A17" s="34" t="s">
        <v>53</v>
      </c>
      <c r="B17" s="46" t="s">
        <v>26</v>
      </c>
      <c r="C17" s="35" t="s">
        <v>9</v>
      </c>
      <c r="D17" s="14" t="s">
        <v>149</v>
      </c>
      <c r="E17" s="14" t="s">
        <v>31</v>
      </c>
      <c r="F17" s="14" t="s">
        <v>32</v>
      </c>
      <c r="G17" s="14" t="str">
        <f t="shared" si="0"/>
        <v>52</v>
      </c>
      <c r="H17" s="14" t="str">
        <f t="shared" si="1"/>
        <v>53</v>
      </c>
      <c r="I17" s="15" t="s">
        <v>28</v>
      </c>
      <c r="J17" s="13"/>
      <c r="K17" s="40" t="s">
        <v>10</v>
      </c>
      <c r="L17" s="2"/>
      <c r="N17" s="2"/>
    </row>
    <row r="18" spans="1:14" ht="30" customHeight="1" x14ac:dyDescent="0.35">
      <c r="A18" s="49" t="s">
        <v>55</v>
      </c>
      <c r="B18" s="50" t="s">
        <v>56</v>
      </c>
      <c r="C18" s="51" t="s">
        <v>59</v>
      </c>
      <c r="D18" s="52" t="s">
        <v>168</v>
      </c>
      <c r="E18" s="73" t="s">
        <v>166</v>
      </c>
      <c r="F18" s="73" t="s">
        <v>167</v>
      </c>
      <c r="G18" s="74" t="str">
        <f>BIN2HEX(SUBSTITUTE(E18," ", ""))</f>
        <v>58</v>
      </c>
      <c r="H18" s="74" t="str">
        <f>BIN2HEX(SUBSTITUTE(F18," ", ""))</f>
        <v>59</v>
      </c>
      <c r="I18" s="75" t="s">
        <v>40</v>
      </c>
      <c r="J18" s="76"/>
      <c r="K18" s="77" t="s">
        <v>10</v>
      </c>
      <c r="L18" s="2"/>
      <c r="N18" s="2"/>
    </row>
    <row r="19" spans="1:14" ht="30" customHeight="1" x14ac:dyDescent="0.35">
      <c r="A19" s="28" t="s">
        <v>73</v>
      </c>
      <c r="B19" s="43" t="s">
        <v>22</v>
      </c>
      <c r="C19" s="29" t="s">
        <v>80</v>
      </c>
      <c r="D19" s="6" t="s">
        <v>130</v>
      </c>
      <c r="E19" s="6" t="s">
        <v>83</v>
      </c>
      <c r="F19" s="6" t="s">
        <v>84</v>
      </c>
      <c r="G19" s="6" t="str">
        <f t="shared" ref="G19:H21" si="2">BIN2HEX(SUBSTITUTE(E19," ", ""))</f>
        <v>80</v>
      </c>
      <c r="H19" s="6" t="str">
        <f t="shared" si="1"/>
        <v>81</v>
      </c>
      <c r="I19" s="26" t="s">
        <v>40</v>
      </c>
      <c r="J19" s="5"/>
      <c r="K19" s="82" t="s">
        <v>177</v>
      </c>
      <c r="L19" s="108"/>
      <c r="N19" s="2"/>
    </row>
    <row r="20" spans="1:14" ht="30" customHeight="1" x14ac:dyDescent="0.35">
      <c r="A20" s="32" t="s">
        <v>73</v>
      </c>
      <c r="B20" s="45" t="s">
        <v>81</v>
      </c>
      <c r="C20" s="33" t="s">
        <v>82</v>
      </c>
      <c r="D20" s="12" t="s">
        <v>150</v>
      </c>
      <c r="E20" s="12" t="s">
        <v>85</v>
      </c>
      <c r="F20" s="12">
        <v>10100001</v>
      </c>
      <c r="G20" s="12" t="str">
        <f t="shared" si="2"/>
        <v>A0</v>
      </c>
      <c r="H20" s="12" t="str">
        <f t="shared" si="1"/>
        <v>A1</v>
      </c>
      <c r="I20" s="21" t="s">
        <v>86</v>
      </c>
      <c r="J20" s="11"/>
      <c r="K20" s="41"/>
      <c r="L20" s="108"/>
      <c r="N20" s="2"/>
    </row>
    <row r="21" spans="1:14" ht="30" customHeight="1" x14ac:dyDescent="0.35">
      <c r="A21" s="36" t="s">
        <v>40</v>
      </c>
      <c r="B21" s="45" t="s">
        <v>3</v>
      </c>
      <c r="C21" s="37" t="s">
        <v>40</v>
      </c>
      <c r="D21" s="12" t="s">
        <v>151</v>
      </c>
      <c r="E21" s="12" t="s">
        <v>63</v>
      </c>
      <c r="F21" s="12" t="s">
        <v>111</v>
      </c>
      <c r="G21" s="12" t="str">
        <f t="shared" si="2"/>
        <v>12</v>
      </c>
      <c r="H21" s="12" t="str">
        <f t="shared" si="2"/>
        <v>13</v>
      </c>
      <c r="I21" s="25" t="s">
        <v>112</v>
      </c>
      <c r="J21" s="11"/>
      <c r="K21" s="39"/>
    </row>
    <row r="22" spans="1:14" x14ac:dyDescent="0.35">
      <c r="A22" s="48"/>
      <c r="B22" s="44"/>
      <c r="C22" s="48"/>
      <c r="D22" s="9"/>
      <c r="E22" s="9"/>
      <c r="F22" s="9"/>
      <c r="G22" s="9"/>
      <c r="H22" s="9"/>
      <c r="I22" s="24"/>
      <c r="J22" s="8"/>
      <c r="K22" s="8"/>
    </row>
    <row r="24" spans="1:14" ht="18.5" x14ac:dyDescent="0.45">
      <c r="A24" s="3" t="s">
        <v>171</v>
      </c>
    </row>
    <row r="25" spans="1:14" ht="29.5" customHeight="1" x14ac:dyDescent="0.35">
      <c r="A25" s="16" t="s">
        <v>13</v>
      </c>
      <c r="B25" s="16" t="s">
        <v>4</v>
      </c>
      <c r="C25" s="16" t="s">
        <v>5</v>
      </c>
      <c r="D25" s="16" t="s">
        <v>128</v>
      </c>
      <c r="E25" s="16" t="s">
        <v>15</v>
      </c>
      <c r="F25" s="16" t="s">
        <v>14</v>
      </c>
      <c r="G25" s="16" t="s">
        <v>62</v>
      </c>
      <c r="H25" s="16" t="s">
        <v>64</v>
      </c>
      <c r="I25" s="16" t="s">
        <v>109</v>
      </c>
      <c r="J25" s="16" t="s">
        <v>16</v>
      </c>
      <c r="K25" s="16" t="s">
        <v>11</v>
      </c>
      <c r="L25" s="4"/>
    </row>
    <row r="26" spans="1:14" ht="30" customHeight="1" x14ac:dyDescent="0.35">
      <c r="A26" s="28" t="s">
        <v>52</v>
      </c>
      <c r="B26" s="43" t="s">
        <v>44</v>
      </c>
      <c r="C26" s="29" t="s">
        <v>43</v>
      </c>
      <c r="D26" s="6" t="s">
        <v>141</v>
      </c>
      <c r="E26" s="6" t="s">
        <v>47</v>
      </c>
      <c r="F26" s="6">
        <v>10000111</v>
      </c>
      <c r="G26" s="6" t="str">
        <f>BIN2HEX(SUBSTITUTE(E26," ", ""))</f>
        <v>86</v>
      </c>
      <c r="H26" s="6" t="str">
        <f>BIN2HEX(SUBSTITUTE(F26," ", ""))</f>
        <v>87</v>
      </c>
      <c r="I26" s="7" t="s">
        <v>46</v>
      </c>
      <c r="J26" s="7"/>
      <c r="K26" s="84" t="s">
        <v>176</v>
      </c>
      <c r="L26" s="107"/>
    </row>
    <row r="27" spans="1:14" ht="30" customHeight="1" x14ac:dyDescent="0.35">
      <c r="A27" s="30" t="s">
        <v>52</v>
      </c>
      <c r="B27" s="44" t="s">
        <v>20</v>
      </c>
      <c r="C27" s="31" t="s">
        <v>41</v>
      </c>
      <c r="D27" s="9" t="s">
        <v>142</v>
      </c>
      <c r="E27" s="9" t="s">
        <v>48</v>
      </c>
      <c r="F27" s="18"/>
      <c r="G27" s="9" t="str">
        <f t="shared" ref="G27:G32" si="3">BIN2HEX(SUBSTITUTE(E27," ", ""))</f>
        <v>20</v>
      </c>
      <c r="H27" s="18"/>
      <c r="I27" s="8" t="s">
        <v>42</v>
      </c>
      <c r="J27" s="10"/>
      <c r="K27" s="22"/>
      <c r="L27" s="107"/>
    </row>
    <row r="28" spans="1:14" ht="30" customHeight="1" x14ac:dyDescent="0.35">
      <c r="A28" s="28" t="s">
        <v>52</v>
      </c>
      <c r="B28" s="43" t="s">
        <v>45</v>
      </c>
      <c r="C28" s="29" t="s">
        <v>43</v>
      </c>
      <c r="D28" s="6" t="s">
        <v>143</v>
      </c>
      <c r="E28" s="6" t="s">
        <v>51</v>
      </c>
      <c r="F28" s="6" t="s">
        <v>50</v>
      </c>
      <c r="G28" s="6" t="str">
        <f t="shared" si="3"/>
        <v>98</v>
      </c>
      <c r="H28" s="6" t="str">
        <f>BIN2HEX(SUBSTITUTE(F28," ", ""))</f>
        <v>99</v>
      </c>
      <c r="I28" s="7" t="s">
        <v>102</v>
      </c>
      <c r="J28" s="7" t="s">
        <v>35</v>
      </c>
      <c r="K28" s="38"/>
      <c r="L28" s="107"/>
    </row>
    <row r="29" spans="1:14" ht="30" customHeight="1" x14ac:dyDescent="0.35">
      <c r="A29" s="30" t="s">
        <v>52</v>
      </c>
      <c r="B29" s="44" t="s">
        <v>19</v>
      </c>
      <c r="C29" s="31" t="s">
        <v>41</v>
      </c>
      <c r="D29" s="9" t="s">
        <v>144</v>
      </c>
      <c r="E29" s="9" t="s">
        <v>105</v>
      </c>
      <c r="F29" s="23"/>
      <c r="G29" s="9" t="str">
        <f t="shared" si="3"/>
        <v>3E</v>
      </c>
      <c r="H29" s="23"/>
      <c r="I29" s="8" t="s">
        <v>103</v>
      </c>
      <c r="J29" s="10" t="s">
        <v>35</v>
      </c>
      <c r="K29" s="22"/>
      <c r="L29" s="107"/>
    </row>
    <row r="30" spans="1:14" ht="30" customHeight="1" x14ac:dyDescent="0.35">
      <c r="A30" s="34" t="s">
        <v>54</v>
      </c>
      <c r="B30" s="46" t="s">
        <v>21</v>
      </c>
      <c r="C30" s="35" t="s">
        <v>9</v>
      </c>
      <c r="D30" s="14" t="s">
        <v>148</v>
      </c>
      <c r="E30" s="14" t="s">
        <v>30</v>
      </c>
      <c r="F30" s="14" t="s">
        <v>29</v>
      </c>
      <c r="G30" s="14" t="str">
        <f t="shared" si="3"/>
        <v>50</v>
      </c>
      <c r="H30" s="14" t="str">
        <f>BIN2HEX(SUBSTITUTE(F30," ", ""))</f>
        <v>51</v>
      </c>
      <c r="I30" s="15" t="s">
        <v>27</v>
      </c>
      <c r="J30" s="13"/>
      <c r="K30" s="40"/>
      <c r="L30" s="2"/>
      <c r="N30" s="2"/>
    </row>
    <row r="31" spans="1:14" ht="30" customHeight="1" x14ac:dyDescent="0.35">
      <c r="A31" s="28" t="s">
        <v>57</v>
      </c>
      <c r="B31" s="43" t="s">
        <v>6</v>
      </c>
      <c r="C31" s="29" t="s">
        <v>24</v>
      </c>
      <c r="D31" s="6" t="s">
        <v>138</v>
      </c>
      <c r="E31" s="6" t="s">
        <v>77</v>
      </c>
      <c r="F31" s="6" t="s">
        <v>78</v>
      </c>
      <c r="G31" s="6" t="str">
        <f t="shared" si="3"/>
        <v>46</v>
      </c>
      <c r="H31" s="6" t="str">
        <f>BIN2HEX(SUBSTITUTE(F31," ", ""))</f>
        <v>47</v>
      </c>
      <c r="I31" s="7" t="s">
        <v>74</v>
      </c>
      <c r="J31" s="5"/>
      <c r="K31" s="38"/>
      <c r="L31" s="107"/>
    </row>
    <row r="32" spans="1:14" ht="30" customHeight="1" x14ac:dyDescent="0.35">
      <c r="A32" s="32" t="s">
        <v>57</v>
      </c>
      <c r="B32" s="45" t="s">
        <v>0</v>
      </c>
      <c r="C32" s="33" t="s">
        <v>8</v>
      </c>
      <c r="D32" s="12" t="s">
        <v>139</v>
      </c>
      <c r="E32" s="12" t="s">
        <v>79</v>
      </c>
      <c r="F32" s="19"/>
      <c r="G32" s="12" t="str">
        <f t="shared" si="3"/>
        <v>24</v>
      </c>
      <c r="H32" s="17"/>
      <c r="I32" s="11" t="s">
        <v>75</v>
      </c>
      <c r="J32" s="11"/>
      <c r="K32" s="85" t="s">
        <v>178</v>
      </c>
      <c r="L32" s="107"/>
    </row>
    <row r="33" spans="1:11" x14ac:dyDescent="0.35">
      <c r="A33" s="31"/>
      <c r="B33" s="44"/>
      <c r="C33" s="31"/>
      <c r="D33" s="9"/>
      <c r="E33" s="9"/>
      <c r="F33" s="9"/>
      <c r="G33" s="9"/>
      <c r="H33" s="9"/>
      <c r="I33" s="8"/>
      <c r="J33" s="10"/>
      <c r="K33" s="8"/>
    </row>
    <row r="35" spans="1:11" ht="18.5" x14ac:dyDescent="0.45">
      <c r="A35" s="3" t="s">
        <v>125</v>
      </c>
    </row>
    <row r="36" spans="1:11" ht="29" x14ac:dyDescent="0.35">
      <c r="A36" s="16" t="s">
        <v>13</v>
      </c>
      <c r="B36" s="16" t="s">
        <v>4</v>
      </c>
      <c r="C36" s="16" t="s">
        <v>5</v>
      </c>
      <c r="D36" s="16" t="s">
        <v>128</v>
      </c>
      <c r="E36" s="16" t="s">
        <v>15</v>
      </c>
      <c r="F36" s="16" t="s">
        <v>14</v>
      </c>
      <c r="G36" s="16" t="s">
        <v>62</v>
      </c>
      <c r="H36" s="16" t="s">
        <v>64</v>
      </c>
      <c r="I36" s="16" t="s">
        <v>109</v>
      </c>
      <c r="J36" s="16" t="s">
        <v>16</v>
      </c>
      <c r="K36" s="16" t="s">
        <v>11</v>
      </c>
    </row>
    <row r="37" spans="1:11" ht="30" customHeight="1" x14ac:dyDescent="0.35">
      <c r="A37" s="87" t="s">
        <v>40</v>
      </c>
      <c r="B37" s="88" t="s">
        <v>116</v>
      </c>
      <c r="C37" s="89" t="s">
        <v>40</v>
      </c>
      <c r="D37" s="90" t="s">
        <v>152</v>
      </c>
      <c r="E37" s="90" t="s">
        <v>114</v>
      </c>
      <c r="F37" s="90" t="s">
        <v>115</v>
      </c>
      <c r="G37" s="90" t="str">
        <f>BIN2HEX(SUBSTITUTE(E37," ", ""))</f>
        <v>60</v>
      </c>
      <c r="H37" s="90" t="str">
        <f>BIN2HEX(SUBSTITUTE(F37," ", ""))</f>
        <v>61</v>
      </c>
      <c r="I37" s="91" t="s">
        <v>113</v>
      </c>
      <c r="J37" s="91"/>
      <c r="K37" s="27" t="s">
        <v>126</v>
      </c>
    </row>
    <row r="38" spans="1:11" ht="30" customHeight="1" x14ac:dyDescent="0.35">
      <c r="A38" s="92" t="s">
        <v>40</v>
      </c>
      <c r="B38" s="93" t="s">
        <v>117</v>
      </c>
      <c r="C38" s="94" t="s">
        <v>40</v>
      </c>
      <c r="D38" s="95" t="s">
        <v>153</v>
      </c>
      <c r="E38" s="95" t="s">
        <v>123</v>
      </c>
      <c r="F38" s="95" t="s">
        <v>124</v>
      </c>
      <c r="G38" s="95" t="str">
        <f>BIN2HEX(SUBSTITUTE(E38," ", ""))</f>
        <v>28</v>
      </c>
      <c r="H38" s="95" t="str">
        <f>BIN2HEX(SUBSTITUTE(F38," ", ""))</f>
        <v>29</v>
      </c>
      <c r="I38" s="96" t="s">
        <v>120</v>
      </c>
      <c r="J38" s="97"/>
      <c r="K38" s="27" t="s">
        <v>126</v>
      </c>
    </row>
    <row r="39" spans="1:11" ht="30" customHeight="1" x14ac:dyDescent="0.35">
      <c r="A39" s="92" t="s">
        <v>40</v>
      </c>
      <c r="B39" s="93" t="s">
        <v>118</v>
      </c>
      <c r="C39" s="94" t="s">
        <v>40</v>
      </c>
      <c r="D39" s="95" t="s">
        <v>130</v>
      </c>
      <c r="E39" s="95" t="s">
        <v>83</v>
      </c>
      <c r="F39" s="95">
        <v>10000001</v>
      </c>
      <c r="G39" s="95" t="str">
        <f t="shared" ref="G39" si="4">BIN2HEX(SUBSTITUTE(E39," ", ""))</f>
        <v>80</v>
      </c>
      <c r="H39" s="95" t="str">
        <f t="shared" ref="H39:H40" si="5">BIN2HEX(SUBSTITUTE(F39," ", ""))</f>
        <v>81</v>
      </c>
      <c r="I39" s="96" t="s">
        <v>121</v>
      </c>
      <c r="J39" s="97"/>
      <c r="K39" s="83" t="s">
        <v>175</v>
      </c>
    </row>
    <row r="40" spans="1:11" ht="30" customHeight="1" x14ac:dyDescent="0.35">
      <c r="A40" s="92" t="s">
        <v>40</v>
      </c>
      <c r="B40" s="93" t="s">
        <v>119</v>
      </c>
      <c r="C40" s="94" t="s">
        <v>40</v>
      </c>
      <c r="D40" s="95"/>
      <c r="E40" s="95"/>
      <c r="F40" s="95" t="s">
        <v>127</v>
      </c>
      <c r="G40" s="95"/>
      <c r="H40" s="95" t="str">
        <f t="shared" si="5"/>
        <v>11</v>
      </c>
      <c r="I40" s="97" t="s">
        <v>122</v>
      </c>
      <c r="J40" s="97"/>
      <c r="K40" s="27" t="s">
        <v>126</v>
      </c>
    </row>
    <row r="41" spans="1:11" ht="30" customHeight="1" x14ac:dyDescent="0.35">
      <c r="A41" s="98" t="s">
        <v>52</v>
      </c>
      <c r="B41" s="93" t="s">
        <v>45</v>
      </c>
      <c r="C41" s="93" t="s">
        <v>97</v>
      </c>
      <c r="D41" s="95" t="s">
        <v>154</v>
      </c>
      <c r="E41" s="95" t="s">
        <v>104</v>
      </c>
      <c r="F41" s="95" t="s">
        <v>106</v>
      </c>
      <c r="G41" s="95" t="str">
        <f t="shared" ref="G41:H43" si="6">BIN2HEX(SUBSTITUTE(E41," ", ""))</f>
        <v>56</v>
      </c>
      <c r="H41" s="95" t="str">
        <f t="shared" si="6"/>
        <v>57</v>
      </c>
      <c r="I41" s="99" t="s">
        <v>101</v>
      </c>
      <c r="J41" s="100" t="s">
        <v>76</v>
      </c>
      <c r="K41" s="27" t="s">
        <v>126</v>
      </c>
    </row>
    <row r="42" spans="1:11" ht="30" customHeight="1" x14ac:dyDescent="0.35">
      <c r="A42" s="101" t="s">
        <v>52</v>
      </c>
      <c r="B42" s="102" t="s">
        <v>44</v>
      </c>
      <c r="C42" s="102" t="s">
        <v>97</v>
      </c>
      <c r="D42" s="103" t="s">
        <v>155</v>
      </c>
      <c r="E42" s="103" t="s">
        <v>98</v>
      </c>
      <c r="F42" s="103" t="s">
        <v>99</v>
      </c>
      <c r="G42" s="103" t="str">
        <f t="shared" si="6"/>
        <v>48</v>
      </c>
      <c r="H42" s="103" t="str">
        <f t="shared" si="6"/>
        <v>49</v>
      </c>
      <c r="I42" s="104" t="s">
        <v>100</v>
      </c>
      <c r="J42" s="105"/>
      <c r="K42" s="27" t="s">
        <v>126</v>
      </c>
    </row>
    <row r="43" spans="1:11" ht="30" customHeight="1" x14ac:dyDescent="0.35">
      <c r="A43" s="101" t="s">
        <v>110</v>
      </c>
      <c r="B43" s="102" t="s">
        <v>2</v>
      </c>
      <c r="C43" s="102" t="s">
        <v>89</v>
      </c>
      <c r="D43" s="103" t="s">
        <v>156</v>
      </c>
      <c r="E43" s="103" t="s">
        <v>91</v>
      </c>
      <c r="F43" s="103" t="s">
        <v>92</v>
      </c>
      <c r="G43" s="103" t="str">
        <f t="shared" si="6"/>
        <v>40</v>
      </c>
      <c r="H43" s="103" t="str">
        <f t="shared" si="6"/>
        <v>41</v>
      </c>
      <c r="I43" s="104" t="s">
        <v>90</v>
      </c>
      <c r="J43" s="106"/>
      <c r="K43" s="42" t="s">
        <v>126</v>
      </c>
    </row>
  </sheetData>
  <mergeCells count="3">
    <mergeCell ref="A2:B2"/>
    <mergeCell ref="E1:G2"/>
    <mergeCell ref="I1:I2"/>
  </mergeCells>
  <phoneticPr fontId="3" type="noConversion"/>
  <conditionalFormatting sqref="G5:H21 G26:H32 G37:H43">
    <cfRule type="duplicateValues" dxfId="0" priority="53"/>
  </conditionalFormatting>
  <pageMargins left="0.25" right="0.25" top="0.75" bottom="0.75" header="0.3" footer="0.3"/>
  <pageSetup paperSize="8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Atkins</dc:creator>
  <cp:lastModifiedBy>Martyn Caiger</cp:lastModifiedBy>
  <cp:lastPrinted>2022-11-24T09:50:29Z</cp:lastPrinted>
  <dcterms:created xsi:type="dcterms:W3CDTF">2015-06-05T18:17:20Z</dcterms:created>
  <dcterms:modified xsi:type="dcterms:W3CDTF">2024-02-02T14:29:50Z</dcterms:modified>
</cp:coreProperties>
</file>